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tilities\Projects\MIPT_labs\lab_3.6.1\"/>
    </mc:Choice>
  </mc:AlternateContent>
  <xr:revisionPtr revIDLastSave="0" documentId="13_ncr:1_{DD78D5A4-44B3-4DFB-8202-39D6A5B39C5D}" xr6:coauthVersionLast="47" xr6:coauthVersionMax="47" xr10:uidLastSave="{00000000-0000-0000-0000-000000000000}"/>
  <bookViews>
    <workbookView xWindow="-98" yWindow="-98" windowWidth="24196" windowHeight="14476" activeTab="1" xr2:uid="{00000000-000D-0000-FFFF-FFFF00000000}"/>
  </bookViews>
  <sheets>
    <sheet name="Обзор экспорта" sheetId="1" r:id="rId1"/>
    <sheet name="А. Прямоуг. импульсы" sheetId="2" r:id="rId2"/>
    <sheet name="Б. Цуги" sheetId="3" r:id="rId3"/>
    <sheet name="Г. Амплитудная модуляция" sheetId="4" r:id="rId4"/>
    <sheet name="Е. RC-фильтр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2" l="1"/>
  <c r="F8" i="2"/>
  <c r="F9" i="2"/>
  <c r="F10" i="2"/>
  <c r="F11" i="2"/>
  <c r="F12" i="2"/>
  <c r="F6" i="2"/>
  <c r="E7" i="2"/>
  <c r="E8" i="2"/>
  <c r="E9" i="2"/>
  <c r="E10" i="2"/>
  <c r="E11" i="2"/>
  <c r="E12" i="2"/>
  <c r="E6" i="2"/>
  <c r="C19" i="5"/>
  <c r="C18" i="5"/>
  <c r="B18" i="5"/>
  <c r="E13" i="5"/>
  <c r="E12" i="5"/>
  <c r="E11" i="5"/>
  <c r="E10" i="5"/>
  <c r="E9" i="5"/>
  <c r="E8" i="5"/>
  <c r="E7" i="5"/>
  <c r="E6" i="5"/>
  <c r="E5" i="5"/>
  <c r="D25" i="4"/>
  <c r="D24" i="4"/>
  <c r="D23" i="4"/>
  <c r="D22" i="4"/>
  <c r="D21" i="4"/>
  <c r="D20" i="4"/>
  <c r="C7" i="4"/>
  <c r="C6" i="4"/>
  <c r="C5" i="4"/>
  <c r="F26" i="2"/>
  <c r="B26" i="2"/>
  <c r="F25" i="2"/>
  <c r="B25" i="2"/>
  <c r="F24" i="2"/>
  <c r="B24" i="2"/>
  <c r="F23" i="2"/>
  <c r="B23" i="2"/>
  <c r="F22" i="2"/>
  <c r="B22" i="2"/>
  <c r="F21" i="2"/>
  <c r="B21" i="2"/>
  <c r="F20" i="2"/>
  <c r="B20" i="2"/>
  <c r="F19" i="2"/>
  <c r="C19" i="2"/>
  <c r="B19" i="2"/>
  <c r="F18" i="2"/>
  <c r="B18" i="2"/>
  <c r="F17" i="2"/>
  <c r="B17" i="2"/>
  <c r="C12" i="2"/>
  <c r="C11" i="2"/>
  <c r="C10" i="2"/>
  <c r="C9" i="2"/>
  <c r="C8" i="2"/>
  <c r="C7" i="2"/>
  <c r="C6" i="2"/>
  <c r="C5" i="2"/>
</calcChain>
</file>

<file path=xl/sharedStrings.xml><?xml version="1.0" encoding="utf-8"?>
<sst xmlns="http://schemas.openxmlformats.org/spreadsheetml/2006/main" count="66" uniqueCount="57">
  <si>
    <t>Документ был экспортирован из Numbers. Каждая таблица была конвертирована в лист Excel. Все другие объекты на листах Numbers были помещены на отдельные листы. Имейте в виду, что расчеты формул могут отличаться от расчетов в Excel.</t>
  </si>
  <si>
    <t>Название листа Numbers</t>
  </si>
  <si>
    <t>Название таблицы Numbers</t>
  </si>
  <si>
    <t>Название листа Excel</t>
  </si>
  <si>
    <t>А. Прямоуг. импульсы</t>
  </si>
  <si>
    <t>Tаблица 1</t>
  </si>
  <si>
    <t>А. Исследование спектра периодической последовательности прямоугольных импульсов</t>
  </si>
  <si>
    <t>Таблица А.1</t>
  </si>
  <si>
    <t>n</t>
  </si>
  <si>
    <t>v_эксп, Гц</t>
  </si>
  <si>
    <t>v_n_теор, Гц</t>
  </si>
  <si>
    <t>|a_n/a_1|^эксп</t>
  </si>
  <si>
    <t>|a_n/a_1|^теор</t>
  </si>
  <si>
    <t>Таблица А.2 (T = const)</t>
  </si>
  <si>
    <t>Таблица А.3 (τ = const)</t>
  </si>
  <si>
    <t>τ, мкс</t>
  </si>
  <si>
    <t>1/τ, кГц</t>
  </si>
  <si>
    <t>Δv_эксп, кГц</t>
  </si>
  <si>
    <t>T, мкс</t>
  </si>
  <si>
    <t>1/T, кГц</t>
  </si>
  <si>
    <t>δv_эксп, кГц</t>
  </si>
  <si>
    <t>Б. Цуги</t>
  </si>
  <si>
    <t>Б. Наблюдение спектра периодической последовательности цугов</t>
  </si>
  <si>
    <t>v_0, кГц</t>
  </si>
  <si>
    <t>T, мс</t>
  </si>
  <si>
    <t>N</t>
  </si>
  <si>
    <t>Положение центра спектра, кГц</t>
  </si>
  <si>
    <t>Δv, кГц</t>
  </si>
  <si>
    <t>δv, кГц</t>
  </si>
  <si>
    <t>Г. Амплитудная модуляция</t>
  </si>
  <si>
    <t>Г. Исследование спектра амплитудно-модулированного сигнала</t>
  </si>
  <si>
    <t xml:space="preserve">Таблица Г.1 </t>
  </si>
  <si>
    <t>A_max, В</t>
  </si>
  <si>
    <t>A_min, В</t>
  </si>
  <si>
    <t>m = (A_max-A_min)/(A_max+A_min)</t>
  </si>
  <si>
    <t>Таблица Г.2</t>
  </si>
  <si>
    <t>v_мод(положение пика), кГц</t>
  </si>
  <si>
    <t>Частота центр. гармоники, кГц</t>
  </si>
  <si>
    <t>Частота боковой гармоники, кГц</t>
  </si>
  <si>
    <t>Таблица Г.3</t>
  </si>
  <si>
    <t>m, %</t>
  </si>
  <si>
    <t>a_бок,mV</t>
  </si>
  <si>
    <t>a_осн,mV</t>
  </si>
  <si>
    <t>a_бок / a_осн</t>
  </si>
  <si>
    <t>Е. RC-фильтр</t>
  </si>
  <si>
    <t>Е. Изучение фильтрации сигналов</t>
  </si>
  <si>
    <t>Таблица Е.1</t>
  </si>
  <si>
    <t>v_n, Гц</t>
  </si>
  <si>
    <t>a_n^Ф (выход)</t>
  </si>
  <si>
    <t>a_n^0 (вход)</t>
  </si>
  <si>
    <t>K_n = a_n^Ф / a_n^0</t>
  </si>
  <si>
    <t>Таблица Е.2</t>
  </si>
  <si>
    <t>R, Ом</t>
  </si>
  <si>
    <t>C, Ф</t>
  </si>
  <si>
    <t>τ_RC_теор = R*C, с</t>
  </si>
  <si>
    <t>τ_RC_эксп, с</t>
  </si>
  <si>
    <r>
      <t>|a_n|^эксп</t>
    </r>
    <r>
      <rPr>
        <b/>
        <sz val="11"/>
        <color rgb="FFFFFFFF"/>
        <rFont val="Calibri"/>
        <family val="2"/>
        <charset val="204"/>
      </rPr>
      <t>, у. е.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</si>
</sst>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9" x14ac:knownFonts="1">
    <font>
      <sz val="11"/>
      <color indexed="8"/>
      <name val="Calibri"/>
    </font>
    <font>
      <sz val="12"/>
      <color indexed="8"/>
      <name val="Calibri"/>
    </font>
    <font>
      <sz val="14"/>
      <color indexed="8"/>
      <name val="Calibri"/>
    </font>
    <font>
      <u/>
      <sz val="12"/>
      <color indexed="11"/>
      <name val="Calibri"/>
    </font>
    <font>
      <b/>
      <sz val="14"/>
      <color indexed="12"/>
      <name val="Calibri"/>
    </font>
    <font>
      <b/>
      <sz val="12"/>
      <color indexed="14"/>
      <name val="Calibri"/>
    </font>
    <font>
      <b/>
      <sz val="11"/>
      <color indexed="15"/>
      <name val="Calibri"/>
    </font>
    <font>
      <b/>
      <sz val="11"/>
      <color indexed="15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0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</fills>
  <borders count="8">
    <border>
      <left/>
      <right/>
      <top/>
      <bottom/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13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3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13"/>
      </right>
      <top style="thin">
        <color indexed="8"/>
      </top>
      <bottom style="thin">
        <color indexed="13"/>
      </bottom>
      <diagonal/>
    </border>
    <border>
      <left style="thin">
        <color indexed="8"/>
      </left>
      <right style="thin">
        <color indexed="8"/>
      </right>
      <top style="thin">
        <color indexed="13"/>
      </top>
      <bottom style="thin">
        <color indexed="13"/>
      </bottom>
      <diagonal/>
    </border>
    <border>
      <left style="thin">
        <color indexed="13"/>
      </left>
      <right style="thin">
        <color indexed="8"/>
      </right>
      <top style="thin">
        <color indexed="13"/>
      </top>
      <bottom style="thin">
        <color indexed="13"/>
      </bottom>
      <diagonal/>
    </border>
  </borders>
  <cellStyleXfs count="1">
    <xf numFmtId="0" fontId="0" fillId="0" borderId="0" applyNumberFormat="0" applyFill="0" applyBorder="0" applyProtection="0"/>
  </cellStyleXfs>
  <cellXfs count="31">
    <xf numFmtId="0" fontId="0" fillId="0" borderId="0" xfId="0"/>
    <xf numFmtId="0" fontId="2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3" fillId="3" borderId="0" xfId="0" applyFont="1" applyFill="1" applyAlignment="1">
      <alignment horizontal="left"/>
    </xf>
    <xf numFmtId="0" fontId="0" fillId="0" borderId="0" xfId="0" applyNumberFormat="1"/>
    <xf numFmtId="49" fontId="4" fillId="0" borderId="1" xfId="0" applyNumberFormat="1" applyFont="1" applyBorder="1"/>
    <xf numFmtId="0" fontId="0" fillId="0" borderId="1" xfId="0" applyBorder="1"/>
    <xf numFmtId="49" fontId="5" fillId="0" borderId="2" xfId="0" applyNumberFormat="1" applyFont="1" applyBorder="1"/>
    <xf numFmtId="0" fontId="0" fillId="0" borderId="2" xfId="0" applyBorder="1"/>
    <xf numFmtId="49" fontId="6" fillId="4" borderId="3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5" borderId="3" xfId="0" applyNumberFormat="1" applyFill="1" applyBorder="1" applyAlignment="1">
      <alignment horizontal="center" vertical="center" wrapText="1"/>
    </xf>
    <xf numFmtId="0" fontId="0" fillId="6" borderId="3" xfId="0" applyNumberForma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0" fillId="5" borderId="3" xfId="0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2" fontId="0" fillId="5" borderId="3" xfId="0" applyNumberFormat="1" applyFill="1" applyBorder="1" applyAlignment="1">
      <alignment horizontal="center" vertical="center" wrapText="1"/>
    </xf>
    <xf numFmtId="2" fontId="0" fillId="6" borderId="3" xfId="0" applyNumberFormat="1" applyFill="1" applyBorder="1" applyAlignment="1">
      <alignment horizontal="center" vertical="center" wrapText="1"/>
    </xf>
    <xf numFmtId="0" fontId="0" fillId="0" borderId="7" xfId="0" applyBorder="1"/>
    <xf numFmtId="0" fontId="5" fillId="0" borderId="2" xfId="0" applyFont="1" applyBorder="1"/>
    <xf numFmtId="49" fontId="0" fillId="6" borderId="3" xfId="0" applyNumberFormat="1" applyFill="1" applyBorder="1" applyAlignment="1">
      <alignment horizontal="center" vertical="center" wrapText="1"/>
    </xf>
    <xf numFmtId="49" fontId="0" fillId="5" borderId="3" xfId="0" applyNumberFormat="1" applyFill="1" applyBorder="1" applyAlignment="1">
      <alignment horizontal="center" vertical="center" wrapText="1"/>
    </xf>
    <xf numFmtId="164" fontId="0" fillId="5" borderId="3" xfId="0" applyNumberFormat="1" applyFill="1" applyBorder="1" applyAlignment="1">
      <alignment horizontal="center" vertical="center" wrapText="1"/>
    </xf>
    <xf numFmtId="164" fontId="0" fillId="6" borderId="3" xfId="0" applyNumberFormat="1" applyFill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0" fontId="0" fillId="0" borderId="0" xfId="0"/>
    <xf numFmtId="49" fontId="7" fillId="4" borderId="3" xfId="0" applyNumberFormat="1" applyFont="1" applyFill="1" applyBorder="1" applyAlignment="1">
      <alignment horizontal="center" vertical="center" wrapText="1"/>
    </xf>
    <xf numFmtId="165" fontId="0" fillId="5" borderId="3" xfId="0" applyNumberFormat="1" applyFill="1" applyBorder="1" applyAlignment="1">
      <alignment horizontal="center" vertical="center" wrapText="1"/>
    </xf>
    <xf numFmtId="165" fontId="0" fillId="6" borderId="3" xfId="0" applyNumberForma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5E88B1"/>
      <rgbColor rgb="FFEEF3F4"/>
      <rgbColor rgb="FF0000FF"/>
      <rgbColor rgb="FF1F4E78"/>
      <rgbColor rgb="FFAAAAAA"/>
      <rgbColor rgb="FF2F5597"/>
      <rgbColor rgb="FFFFFFFF"/>
      <rgbColor rgb="FFF2F2F2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D16"/>
  <sheetViews>
    <sheetView showGridLines="0" workbookViewId="0"/>
  </sheetViews>
  <sheetFormatPr defaultColWidth="10" defaultRowHeight="13.05" customHeight="1" x14ac:dyDescent="0.45"/>
  <cols>
    <col min="1" max="1" width="2" customWidth="1"/>
    <col min="2" max="4" width="30.53125" customWidth="1"/>
  </cols>
  <sheetData>
    <row r="3" spans="2:4" ht="50" customHeight="1" x14ac:dyDescent="0.5">
      <c r="B3" s="26" t="s">
        <v>0</v>
      </c>
      <c r="C3" s="27"/>
      <c r="D3" s="27"/>
    </row>
    <row r="7" spans="2:4" ht="18" x14ac:dyDescent="0.55000000000000004">
      <c r="B7" s="1" t="s">
        <v>1</v>
      </c>
      <c r="C7" s="1" t="s">
        <v>2</v>
      </c>
      <c r="D7" s="1" t="s">
        <v>3</v>
      </c>
    </row>
    <row r="9" spans="2:4" ht="15.75" x14ac:dyDescent="0.5">
      <c r="B9" s="2" t="s">
        <v>4</v>
      </c>
      <c r="C9" s="2"/>
      <c r="D9" s="2"/>
    </row>
    <row r="10" spans="2:4" ht="15.75" x14ac:dyDescent="0.5">
      <c r="B10" s="3"/>
      <c r="C10" s="3" t="s">
        <v>5</v>
      </c>
      <c r="D10" s="4" t="s">
        <v>4</v>
      </c>
    </row>
    <row r="11" spans="2:4" ht="15.75" x14ac:dyDescent="0.5">
      <c r="B11" s="2" t="s">
        <v>21</v>
      </c>
      <c r="C11" s="2"/>
      <c r="D11" s="2"/>
    </row>
    <row r="12" spans="2:4" ht="15.75" x14ac:dyDescent="0.5">
      <c r="B12" s="3"/>
      <c r="C12" s="3" t="s">
        <v>5</v>
      </c>
      <c r="D12" s="4" t="s">
        <v>21</v>
      </c>
    </row>
    <row r="13" spans="2:4" ht="15.75" x14ac:dyDescent="0.5">
      <c r="B13" s="2" t="s">
        <v>29</v>
      </c>
      <c r="C13" s="2"/>
      <c r="D13" s="2"/>
    </row>
    <row r="14" spans="2:4" ht="15.75" x14ac:dyDescent="0.5">
      <c r="B14" s="3"/>
      <c r="C14" s="3" t="s">
        <v>5</v>
      </c>
      <c r="D14" s="4" t="s">
        <v>29</v>
      </c>
    </row>
    <row r="15" spans="2:4" ht="15.75" x14ac:dyDescent="0.5">
      <c r="B15" s="2" t="s">
        <v>44</v>
      </c>
      <c r="C15" s="2"/>
      <c r="D15" s="2"/>
    </row>
    <row r="16" spans="2:4" ht="15.75" x14ac:dyDescent="0.5">
      <c r="B16" s="3"/>
      <c r="C16" s="3" t="s">
        <v>5</v>
      </c>
      <c r="D16" s="4" t="s">
        <v>44</v>
      </c>
    </row>
  </sheetData>
  <mergeCells count="1">
    <mergeCell ref="B3:D3"/>
  </mergeCells>
  <hyperlinks>
    <hyperlink ref="D10" location="'А. Прямоуг. импульсы'!R1C1" display="А. Прямоуг. импульсы" xr:uid="{00000000-0004-0000-0000-000000000000}"/>
    <hyperlink ref="D12" location="'Б. Цуги'!R1C1" display="Б. Цуги" xr:uid="{00000000-0004-0000-0000-000001000000}"/>
    <hyperlink ref="D14" location="'Г. Амплитудная модуляция'!R1C1" display="Г. Амплитудная модуляция" xr:uid="{00000000-0004-0000-0000-000002000000}"/>
    <hyperlink ref="D16" location="'Е. RC-фильтр'!R1C1" display="Е. RC-фильтр" xr:uid="{00000000-0004-0000-0000-000003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"/>
  <sheetViews>
    <sheetView showGridLines="0" tabSelected="1" zoomScale="126" zoomScaleNormal="126" workbookViewId="0">
      <selection activeCell="G4" sqref="G4"/>
    </sheetView>
  </sheetViews>
  <sheetFormatPr defaultColWidth="8.86328125" defaultRowHeight="15" customHeight="1" x14ac:dyDescent="0.45"/>
  <cols>
    <col min="1" max="2" width="13" style="5" customWidth="1"/>
    <col min="3" max="3" width="15.6640625" style="5" customWidth="1"/>
    <col min="4" max="4" width="14.796875" style="5" customWidth="1"/>
    <col min="5" max="7" width="18.19921875" style="5" customWidth="1"/>
    <col min="8" max="8" width="8.86328125" style="5" customWidth="1"/>
    <col min="9" max="16384" width="8.86328125" style="5"/>
  </cols>
  <sheetData>
    <row r="1" spans="1:7" ht="17.95" customHeight="1" x14ac:dyDescent="0.55000000000000004">
      <c r="A1" s="6" t="s">
        <v>6</v>
      </c>
      <c r="B1" s="7"/>
      <c r="C1" s="7"/>
      <c r="D1" s="7"/>
      <c r="E1" s="7"/>
      <c r="F1" s="7"/>
      <c r="G1" s="7"/>
    </row>
    <row r="2" spans="1:7" ht="13.6" customHeight="1" x14ac:dyDescent="0.45">
      <c r="A2" s="7"/>
      <c r="B2" s="7"/>
      <c r="C2" s="7"/>
      <c r="D2" s="7"/>
      <c r="E2" s="7"/>
      <c r="F2" s="7"/>
      <c r="G2" s="7"/>
    </row>
    <row r="3" spans="1:7" ht="15.4" customHeight="1" x14ac:dyDescent="0.5">
      <c r="A3" s="8" t="s">
        <v>7</v>
      </c>
      <c r="B3" s="9"/>
      <c r="C3" s="9"/>
      <c r="D3" s="9"/>
      <c r="E3" s="9"/>
      <c r="F3" s="9"/>
      <c r="G3" s="7"/>
    </row>
    <row r="4" spans="1:7" ht="13.6" customHeight="1" x14ac:dyDescent="0.45">
      <c r="A4" s="10" t="s">
        <v>8</v>
      </c>
      <c r="B4" s="10" t="s">
        <v>9</v>
      </c>
      <c r="C4" s="10" t="s">
        <v>10</v>
      </c>
      <c r="D4" s="28" t="s">
        <v>56</v>
      </c>
      <c r="E4" s="10" t="s">
        <v>11</v>
      </c>
      <c r="F4" s="10" t="s">
        <v>12</v>
      </c>
      <c r="G4" s="11"/>
    </row>
    <row r="5" spans="1:7" ht="13.6" customHeight="1" x14ac:dyDescent="0.45">
      <c r="A5" s="12">
        <v>1</v>
      </c>
      <c r="B5" s="12">
        <v>1000</v>
      </c>
      <c r="C5" s="12">
        <f t="shared" ref="C5:C12" si="0">A5/(50*10^(-6)*20)</f>
        <v>1000</v>
      </c>
      <c r="D5" s="12">
        <v>274.3</v>
      </c>
      <c r="E5" s="29">
        <v>1</v>
      </c>
      <c r="F5" s="29">
        <v>1</v>
      </c>
      <c r="G5" s="11"/>
    </row>
    <row r="6" spans="1:7" ht="13.6" customHeight="1" x14ac:dyDescent="0.45">
      <c r="A6" s="13">
        <v>2</v>
      </c>
      <c r="B6" s="13">
        <v>2000</v>
      </c>
      <c r="C6" s="12">
        <f t="shared" si="0"/>
        <v>2000</v>
      </c>
      <c r="D6" s="13">
        <v>270.8</v>
      </c>
      <c r="E6" s="30">
        <f>D6/$D$5</f>
        <v>0.98724024790375497</v>
      </c>
      <c r="F6" s="30">
        <f>(SIN(PI()*B6*50/10^6)/SIN(PI()*$B$5*50/10^6)*$B$5/B6)</f>
        <v>0.98768834059513766</v>
      </c>
      <c r="G6" s="11"/>
    </row>
    <row r="7" spans="1:7" ht="13.6" customHeight="1" x14ac:dyDescent="0.45">
      <c r="A7" s="12">
        <v>3</v>
      </c>
      <c r="B7" s="12">
        <v>3000</v>
      </c>
      <c r="C7" s="12">
        <f t="shared" si="0"/>
        <v>3000</v>
      </c>
      <c r="D7" s="12">
        <v>265.2</v>
      </c>
      <c r="E7" s="30">
        <f t="shared" ref="E7:E12" si="1">D7/$D$5</f>
        <v>0.96682464454976291</v>
      </c>
      <c r="F7" s="30">
        <f t="shared" ref="F7:F12" si="2">(SIN(PI()*B7*50/10^6)/SIN(PI()*$B$5*50/10^6)*$B$5/B7)</f>
        <v>0.96737101086343558</v>
      </c>
      <c r="G7" s="11"/>
    </row>
    <row r="8" spans="1:7" ht="13.6" customHeight="1" x14ac:dyDescent="0.45">
      <c r="A8" s="13">
        <v>4</v>
      </c>
      <c r="B8" s="12">
        <v>4000</v>
      </c>
      <c r="C8" s="12">
        <f t="shared" si="0"/>
        <v>4000</v>
      </c>
      <c r="D8" s="13">
        <v>257.8</v>
      </c>
      <c r="E8" s="30">
        <f t="shared" si="1"/>
        <v>0.93984688297484509</v>
      </c>
      <c r="F8" s="30">
        <f t="shared" si="2"/>
        <v>0.93934743239175278</v>
      </c>
      <c r="G8" s="11"/>
    </row>
    <row r="9" spans="1:7" ht="13.6" customHeight="1" x14ac:dyDescent="0.45">
      <c r="A9" s="12">
        <v>5</v>
      </c>
      <c r="B9" s="13">
        <v>5000</v>
      </c>
      <c r="C9" s="12">
        <f t="shared" si="0"/>
        <v>5000</v>
      </c>
      <c r="D9" s="12">
        <v>248.3</v>
      </c>
      <c r="E9" s="30">
        <f t="shared" si="1"/>
        <v>0.90521327014218012</v>
      </c>
      <c r="F9" s="30">
        <f t="shared" si="2"/>
        <v>0.90402940426804035</v>
      </c>
      <c r="G9" s="11"/>
    </row>
    <row r="10" spans="1:7" ht="13.6" customHeight="1" x14ac:dyDescent="0.45">
      <c r="A10" s="13">
        <v>6</v>
      </c>
      <c r="B10" s="12">
        <v>6000</v>
      </c>
      <c r="C10" s="12">
        <f t="shared" si="0"/>
        <v>6000</v>
      </c>
      <c r="D10" s="13">
        <v>237.1</v>
      </c>
      <c r="E10" s="30">
        <f t="shared" si="1"/>
        <v>0.8643820634341961</v>
      </c>
      <c r="F10" s="30">
        <f t="shared" si="2"/>
        <v>0.86193388199001764</v>
      </c>
      <c r="G10" s="11"/>
    </row>
    <row r="11" spans="1:7" ht="13.6" customHeight="1" x14ac:dyDescent="0.45">
      <c r="A11" s="12">
        <v>7</v>
      </c>
      <c r="B11" s="12">
        <v>7000</v>
      </c>
      <c r="C11" s="12">
        <f t="shared" si="0"/>
        <v>7000</v>
      </c>
      <c r="D11" s="12">
        <v>224.2</v>
      </c>
      <c r="E11" s="30">
        <f t="shared" si="1"/>
        <v>0.81735326285089316</v>
      </c>
      <c r="F11" s="30">
        <f t="shared" si="2"/>
        <v>0.81367393227502116</v>
      </c>
      <c r="G11" s="11"/>
    </row>
    <row r="12" spans="1:7" ht="13.6" customHeight="1" x14ac:dyDescent="0.45">
      <c r="A12" s="13">
        <v>8</v>
      </c>
      <c r="B12" s="13">
        <v>8000</v>
      </c>
      <c r="C12" s="12">
        <f t="shared" si="0"/>
        <v>8000</v>
      </c>
      <c r="D12" s="13">
        <v>209.4</v>
      </c>
      <c r="E12" s="30">
        <f t="shared" si="1"/>
        <v>0.76339773970105718</v>
      </c>
      <c r="F12" s="30">
        <f t="shared" si="2"/>
        <v>0.75994803642739994</v>
      </c>
      <c r="G12" s="11"/>
    </row>
    <row r="13" spans="1:7" ht="13.6" customHeight="1" x14ac:dyDescent="0.45">
      <c r="A13" s="16"/>
      <c r="B13" s="16"/>
      <c r="C13" s="16"/>
      <c r="D13" s="16"/>
      <c r="E13" s="16"/>
      <c r="F13" s="16"/>
      <c r="G13" s="7"/>
    </row>
    <row r="14" spans="1:7" ht="13.6" customHeight="1" x14ac:dyDescent="0.45">
      <c r="A14" s="7"/>
      <c r="B14" s="7"/>
      <c r="C14" s="7"/>
      <c r="D14" s="7"/>
      <c r="E14" s="7"/>
      <c r="F14" s="7"/>
      <c r="G14" s="7"/>
    </row>
    <row r="15" spans="1:7" ht="15.4" customHeight="1" x14ac:dyDescent="0.5">
      <c r="A15" s="8" t="s">
        <v>13</v>
      </c>
      <c r="B15" s="9"/>
      <c r="C15" s="9"/>
      <c r="D15" s="7"/>
      <c r="E15" s="8" t="s">
        <v>14</v>
      </c>
      <c r="F15" s="9"/>
      <c r="G15" s="9"/>
    </row>
    <row r="16" spans="1:7" ht="13.6" customHeight="1" x14ac:dyDescent="0.45">
      <c r="A16" s="10" t="s">
        <v>15</v>
      </c>
      <c r="B16" s="10" t="s">
        <v>16</v>
      </c>
      <c r="C16" s="10" t="s">
        <v>17</v>
      </c>
      <c r="D16" s="17"/>
      <c r="E16" s="10" t="s">
        <v>18</v>
      </c>
      <c r="F16" s="10" t="s">
        <v>19</v>
      </c>
      <c r="G16" s="10" t="s">
        <v>20</v>
      </c>
    </row>
    <row r="17" spans="1:7" ht="13.6" customHeight="1" x14ac:dyDescent="0.45">
      <c r="A17" s="12">
        <v>20</v>
      </c>
      <c r="B17" s="12">
        <f t="shared" ref="B17:B26" si="3">IF(ISBLANK(A17),"",1000/A17)</f>
        <v>50</v>
      </c>
      <c r="C17" s="12">
        <v>50</v>
      </c>
      <c r="D17" s="17"/>
      <c r="E17" s="12">
        <v>400</v>
      </c>
      <c r="F17" s="12">
        <f t="shared" ref="F17:F26" si="4">IF(ISBLANK(E17),"",1000/E17)</f>
        <v>2.5</v>
      </c>
      <c r="G17" s="12">
        <v>2.5</v>
      </c>
    </row>
    <row r="18" spans="1:7" ht="13.6" customHeight="1" x14ac:dyDescent="0.45">
      <c r="A18" s="13">
        <v>40</v>
      </c>
      <c r="B18" s="13">
        <f t="shared" si="3"/>
        <v>25</v>
      </c>
      <c r="C18" s="13">
        <v>25</v>
      </c>
      <c r="D18" s="17"/>
      <c r="E18" s="13">
        <v>500</v>
      </c>
      <c r="F18" s="13">
        <f t="shared" si="4"/>
        <v>2</v>
      </c>
      <c r="G18" s="13">
        <v>2</v>
      </c>
    </row>
    <row r="19" spans="1:7" ht="13.6" customHeight="1" x14ac:dyDescent="0.45">
      <c r="A19" s="12">
        <v>60</v>
      </c>
      <c r="B19" s="18">
        <f t="shared" si="3"/>
        <v>16.666666666666668</v>
      </c>
      <c r="C19" s="12">
        <f>16.88</f>
        <v>16.88</v>
      </c>
      <c r="D19" s="17"/>
      <c r="E19" s="12">
        <v>800</v>
      </c>
      <c r="F19" s="12">
        <f t="shared" si="4"/>
        <v>1.25</v>
      </c>
      <c r="G19" s="12">
        <v>1.25</v>
      </c>
    </row>
    <row r="20" spans="1:7" ht="13.6" customHeight="1" x14ac:dyDescent="0.45">
      <c r="A20" s="13">
        <v>80</v>
      </c>
      <c r="B20" s="13">
        <f t="shared" si="3"/>
        <v>12.5</v>
      </c>
      <c r="C20" s="13">
        <v>12.5</v>
      </c>
      <c r="D20" s="17"/>
      <c r="E20" s="13">
        <v>1000</v>
      </c>
      <c r="F20" s="13">
        <f t="shared" si="4"/>
        <v>1</v>
      </c>
      <c r="G20" s="13">
        <v>1</v>
      </c>
    </row>
    <row r="21" spans="1:7" ht="13.6" customHeight="1" x14ac:dyDescent="0.45">
      <c r="A21" s="12">
        <v>100</v>
      </c>
      <c r="B21" s="12">
        <f t="shared" si="3"/>
        <v>10</v>
      </c>
      <c r="C21" s="12">
        <v>10</v>
      </c>
      <c r="D21" s="17"/>
      <c r="E21" s="12">
        <v>1600</v>
      </c>
      <c r="F21" s="12">
        <f t="shared" si="4"/>
        <v>0.625</v>
      </c>
      <c r="G21" s="12">
        <v>0.625</v>
      </c>
    </row>
    <row r="22" spans="1:7" ht="13.6" customHeight="1" x14ac:dyDescent="0.45">
      <c r="A22" s="13">
        <v>120</v>
      </c>
      <c r="B22" s="19">
        <f t="shared" si="3"/>
        <v>8.3333333333333339</v>
      </c>
      <c r="C22" s="13">
        <v>8.25</v>
      </c>
      <c r="D22" s="17"/>
      <c r="E22" s="13">
        <v>2000</v>
      </c>
      <c r="F22" s="13">
        <f t="shared" si="4"/>
        <v>0.5</v>
      </c>
      <c r="G22" s="13">
        <v>0.5</v>
      </c>
    </row>
    <row r="23" spans="1:7" ht="13.6" customHeight="1" x14ac:dyDescent="0.45">
      <c r="A23" s="13">
        <v>140</v>
      </c>
      <c r="B23" s="19">
        <f t="shared" si="3"/>
        <v>7.1428571428571432</v>
      </c>
      <c r="C23" s="13">
        <v>7.25</v>
      </c>
      <c r="D23" s="17"/>
      <c r="E23" s="13">
        <v>2500</v>
      </c>
      <c r="F23" s="13">
        <f t="shared" si="4"/>
        <v>0.4</v>
      </c>
      <c r="G23" s="13">
        <v>0.4</v>
      </c>
    </row>
    <row r="24" spans="1:7" ht="13.6" customHeight="1" x14ac:dyDescent="0.45">
      <c r="A24" s="13">
        <v>160</v>
      </c>
      <c r="B24" s="13">
        <f t="shared" si="3"/>
        <v>6.25</v>
      </c>
      <c r="C24" s="13">
        <v>6.3</v>
      </c>
      <c r="D24" s="17"/>
      <c r="E24" s="13">
        <v>3200</v>
      </c>
      <c r="F24" s="13">
        <f t="shared" si="4"/>
        <v>0.3125</v>
      </c>
      <c r="G24" s="13">
        <v>0.31</v>
      </c>
    </row>
    <row r="25" spans="1:7" ht="13.6" customHeight="1" x14ac:dyDescent="0.45">
      <c r="A25" s="13">
        <v>180</v>
      </c>
      <c r="B25" s="19">
        <f t="shared" si="3"/>
        <v>5.5555555555555554</v>
      </c>
      <c r="C25" s="13">
        <v>5.7</v>
      </c>
      <c r="D25" s="17"/>
      <c r="E25" s="13">
        <v>4000</v>
      </c>
      <c r="F25" s="13">
        <f t="shared" si="4"/>
        <v>0.25</v>
      </c>
      <c r="G25" s="13">
        <v>0.25</v>
      </c>
    </row>
    <row r="26" spans="1:7" ht="13.6" customHeight="1" x14ac:dyDescent="0.45">
      <c r="A26" s="13">
        <v>200</v>
      </c>
      <c r="B26" s="13">
        <f t="shared" si="3"/>
        <v>5</v>
      </c>
      <c r="C26" s="13">
        <v>5</v>
      </c>
      <c r="D26" s="17"/>
      <c r="E26" s="13">
        <v>5000</v>
      </c>
      <c r="F26" s="13">
        <f t="shared" si="4"/>
        <v>0.2</v>
      </c>
      <c r="G26" s="13">
        <v>0.2</v>
      </c>
    </row>
    <row r="27" spans="1:7" ht="13.6" customHeight="1" x14ac:dyDescent="0.45">
      <c r="A27" s="16"/>
      <c r="B27" s="16"/>
      <c r="C27" s="16"/>
      <c r="D27" s="20"/>
      <c r="E27" s="14"/>
      <c r="F27" s="14"/>
      <c r="G27" s="14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"/>
  <sheetViews>
    <sheetView showGridLines="0" workbookViewId="0"/>
  </sheetViews>
  <sheetFormatPr defaultColWidth="8.86328125" defaultRowHeight="15" customHeight="1" x14ac:dyDescent="0.45"/>
  <cols>
    <col min="1" max="1" width="31.19921875" style="5" customWidth="1"/>
    <col min="2" max="2" width="15.6640625" style="5" customWidth="1"/>
    <col min="3" max="3" width="24.6640625" style="5" customWidth="1"/>
    <col min="4" max="4" width="37.6640625" style="5" customWidth="1"/>
    <col min="5" max="5" width="28.6640625" style="5" customWidth="1"/>
    <col min="6" max="6" width="46.86328125" style="5" customWidth="1"/>
    <col min="7" max="7" width="8.86328125" style="5" customWidth="1"/>
    <col min="8" max="16384" width="8.86328125" style="5"/>
  </cols>
  <sheetData>
    <row r="1" spans="1:6" ht="17.95" customHeight="1" x14ac:dyDescent="0.55000000000000004">
      <c r="A1" s="6" t="s">
        <v>22</v>
      </c>
      <c r="B1" s="7"/>
      <c r="C1" s="7"/>
      <c r="D1" s="7"/>
      <c r="E1" s="7"/>
      <c r="F1" s="7"/>
    </row>
    <row r="2" spans="1:6" ht="13.6" customHeight="1" x14ac:dyDescent="0.45">
      <c r="A2" s="7"/>
      <c r="B2" s="7"/>
      <c r="C2" s="7"/>
      <c r="D2" s="7"/>
      <c r="E2" s="7"/>
      <c r="F2" s="7"/>
    </row>
    <row r="3" spans="1:6" ht="15.4" customHeight="1" x14ac:dyDescent="0.5">
      <c r="A3" s="21"/>
      <c r="B3" s="9"/>
      <c r="C3" s="9"/>
      <c r="D3" s="9"/>
      <c r="E3" s="9"/>
      <c r="F3" s="9"/>
    </row>
    <row r="4" spans="1:6" ht="13.6" customHeight="1" x14ac:dyDescent="0.45">
      <c r="A4" s="10" t="s">
        <v>23</v>
      </c>
      <c r="B4" s="10" t="s">
        <v>24</v>
      </c>
      <c r="C4" s="10" t="s">
        <v>25</v>
      </c>
      <c r="D4" s="10" t="s">
        <v>26</v>
      </c>
      <c r="E4" s="10" t="s">
        <v>27</v>
      </c>
      <c r="F4" s="10" t="s">
        <v>28</v>
      </c>
    </row>
    <row r="5" spans="1:6" ht="13.6" customHeight="1" x14ac:dyDescent="0.45">
      <c r="A5" s="12">
        <v>30</v>
      </c>
      <c r="B5" s="12">
        <v>1</v>
      </c>
      <c r="C5" s="12">
        <v>5</v>
      </c>
      <c r="D5" s="12">
        <v>30</v>
      </c>
      <c r="E5" s="12">
        <v>12</v>
      </c>
      <c r="F5" s="12">
        <v>1</v>
      </c>
    </row>
    <row r="6" spans="1:6" ht="13.6" customHeight="1" x14ac:dyDescent="0.45">
      <c r="A6" s="13">
        <v>50</v>
      </c>
      <c r="B6" s="13">
        <v>1</v>
      </c>
      <c r="C6" s="13">
        <v>5</v>
      </c>
      <c r="D6" s="13">
        <v>50</v>
      </c>
      <c r="E6" s="13">
        <v>20</v>
      </c>
      <c r="F6" s="13">
        <v>1</v>
      </c>
    </row>
    <row r="7" spans="1:6" ht="13.6" customHeight="1" x14ac:dyDescent="0.45">
      <c r="A7" s="12">
        <v>50</v>
      </c>
      <c r="B7" s="12">
        <v>1</v>
      </c>
      <c r="C7" s="12">
        <v>10</v>
      </c>
      <c r="D7" s="12">
        <v>50</v>
      </c>
      <c r="E7" s="12">
        <v>10</v>
      </c>
      <c r="F7" s="12">
        <v>1</v>
      </c>
    </row>
    <row r="8" spans="1:6" ht="13.6" customHeight="1" x14ac:dyDescent="0.45">
      <c r="A8" s="13">
        <v>50</v>
      </c>
      <c r="B8" s="13">
        <v>2</v>
      </c>
      <c r="C8" s="13">
        <v>5</v>
      </c>
      <c r="D8" s="13">
        <v>50</v>
      </c>
      <c r="E8" s="13">
        <v>20</v>
      </c>
      <c r="F8" s="13">
        <v>0.5</v>
      </c>
    </row>
    <row r="9" spans="1:6" ht="13.6" customHeight="1" x14ac:dyDescent="0.45">
      <c r="A9" s="15"/>
      <c r="B9" s="15"/>
      <c r="C9" s="15"/>
      <c r="D9" s="15"/>
      <c r="E9" s="15"/>
      <c r="F9" s="15"/>
    </row>
    <row r="10" spans="1:6" ht="13.6" customHeight="1" x14ac:dyDescent="0.45">
      <c r="A10" s="16"/>
      <c r="B10" s="16"/>
      <c r="C10" s="16"/>
      <c r="D10" s="16"/>
      <c r="E10" s="16"/>
      <c r="F10" s="16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26"/>
  <sheetViews>
    <sheetView showGridLines="0" workbookViewId="0"/>
  </sheetViews>
  <sheetFormatPr defaultColWidth="8.86328125" defaultRowHeight="15" customHeight="1" x14ac:dyDescent="0.45"/>
  <cols>
    <col min="1" max="1" width="31.19921875" style="5" customWidth="1"/>
    <col min="2" max="2" width="36.46484375" style="5" customWidth="1"/>
    <col min="3" max="3" width="63.6640625" style="5" customWidth="1"/>
    <col min="4" max="4" width="46.86328125" style="5" customWidth="1"/>
    <col min="5" max="5" width="48.19921875" style="5" customWidth="1"/>
    <col min="6" max="6" width="8.86328125" style="5" customWidth="1"/>
    <col min="7" max="16384" width="8.86328125" style="5"/>
  </cols>
  <sheetData>
    <row r="1" spans="1:5" ht="17.95" customHeight="1" x14ac:dyDescent="0.55000000000000004">
      <c r="A1" s="6" t="s">
        <v>30</v>
      </c>
      <c r="B1" s="7"/>
      <c r="C1" s="7"/>
      <c r="D1" s="7"/>
      <c r="E1" s="7"/>
    </row>
    <row r="2" spans="1:5" ht="13.6" customHeight="1" x14ac:dyDescent="0.45">
      <c r="A2" s="7"/>
      <c r="B2" s="7"/>
      <c r="C2" s="7"/>
      <c r="D2" s="7"/>
      <c r="E2" s="7"/>
    </row>
    <row r="3" spans="1:5" ht="15.4" customHeight="1" x14ac:dyDescent="0.5">
      <c r="A3" s="8" t="s">
        <v>31</v>
      </c>
      <c r="B3" s="9"/>
      <c r="C3" s="9"/>
      <c r="D3" s="7"/>
      <c r="E3" s="7"/>
    </row>
    <row r="4" spans="1:5" ht="13.6" customHeight="1" x14ac:dyDescent="0.45">
      <c r="A4" s="10" t="s">
        <v>32</v>
      </c>
      <c r="B4" s="10" t="s">
        <v>33</v>
      </c>
      <c r="C4" s="10" t="s">
        <v>34</v>
      </c>
      <c r="D4" s="11"/>
      <c r="E4" s="7"/>
    </row>
    <row r="5" spans="1:5" ht="13.6" customHeight="1" x14ac:dyDescent="0.45">
      <c r="A5" s="12">
        <v>1.47</v>
      </c>
      <c r="B5" s="12">
        <v>0.48799999999999999</v>
      </c>
      <c r="C5" s="12">
        <f>IF(OR(ISBLANK(A5),ISBLANK(B5)),"",(A5-B5)/(A5+B5))</f>
        <v>0.50153217568947905</v>
      </c>
      <c r="D5" s="11"/>
      <c r="E5" s="7"/>
    </row>
    <row r="6" spans="1:5" ht="13.6" customHeight="1" x14ac:dyDescent="0.45">
      <c r="A6" s="14"/>
      <c r="B6" s="14"/>
      <c r="C6" s="22" t="str">
        <f>IF(OR(ISBLANK(A6),ISBLANK(B6)),"",(A6-B6)/(A6+B6))</f>
        <v/>
      </c>
      <c r="D6" s="11"/>
      <c r="E6" s="7"/>
    </row>
    <row r="7" spans="1:5" ht="13.6" customHeight="1" x14ac:dyDescent="0.45">
      <c r="A7" s="15"/>
      <c r="B7" s="15"/>
      <c r="C7" s="23" t="str">
        <f>IF(OR(ISBLANK(A7),ISBLANK(B7)),"",(A7-B7)/(A7+B7))</f>
        <v/>
      </c>
      <c r="D7" s="11"/>
      <c r="E7" s="7"/>
    </row>
    <row r="8" spans="1:5" ht="13.6" customHeight="1" x14ac:dyDescent="0.45">
      <c r="A8" s="16"/>
      <c r="B8" s="16"/>
      <c r="C8" s="16"/>
      <c r="D8" s="7"/>
      <c r="E8" s="7"/>
    </row>
    <row r="9" spans="1:5" ht="13.6" customHeight="1" x14ac:dyDescent="0.45">
      <c r="A9" s="7"/>
      <c r="B9" s="7"/>
      <c r="C9" s="7"/>
      <c r="D9" s="7"/>
      <c r="E9" s="7"/>
    </row>
    <row r="10" spans="1:5" ht="15.4" customHeight="1" x14ac:dyDescent="0.5">
      <c r="A10" s="8" t="s">
        <v>35</v>
      </c>
      <c r="B10" s="9"/>
      <c r="C10" s="9"/>
      <c r="D10" s="9"/>
      <c r="E10" s="7"/>
    </row>
    <row r="11" spans="1:5" ht="13.6" customHeight="1" x14ac:dyDescent="0.45">
      <c r="A11" s="10" t="s">
        <v>23</v>
      </c>
      <c r="B11" s="10" t="s">
        <v>36</v>
      </c>
      <c r="C11" s="10" t="s">
        <v>37</v>
      </c>
      <c r="D11" s="10" t="s">
        <v>38</v>
      </c>
      <c r="E11" s="11"/>
    </row>
    <row r="12" spans="1:5" ht="13.6" customHeight="1" x14ac:dyDescent="0.45">
      <c r="A12" s="12">
        <v>50</v>
      </c>
      <c r="B12" s="12">
        <v>3.173</v>
      </c>
      <c r="C12" s="12">
        <v>1.173</v>
      </c>
      <c r="D12" s="12">
        <v>0.82599999999999996</v>
      </c>
      <c r="E12" s="11"/>
    </row>
    <row r="13" spans="1:5" ht="13.6" customHeight="1" x14ac:dyDescent="0.45">
      <c r="A13" s="13">
        <v>100</v>
      </c>
      <c r="B13" s="13">
        <v>4.3470000000000004</v>
      </c>
      <c r="C13" s="13">
        <v>2.3460000000000001</v>
      </c>
      <c r="D13" s="13">
        <v>0.34699999999999998</v>
      </c>
      <c r="E13" s="11"/>
    </row>
    <row r="14" spans="1:5" ht="13.6" customHeight="1" x14ac:dyDescent="0.45">
      <c r="A14" s="12">
        <v>50</v>
      </c>
      <c r="B14" s="12">
        <v>2.173</v>
      </c>
      <c r="C14" s="12">
        <v>1.1739999999999999</v>
      </c>
      <c r="D14" s="12">
        <v>0.17199999999999999</v>
      </c>
      <c r="E14" s="11"/>
    </row>
    <row r="15" spans="1:5" ht="13.6" customHeight="1" x14ac:dyDescent="0.45">
      <c r="A15" s="14"/>
      <c r="B15" s="14"/>
      <c r="C15" s="14"/>
      <c r="D15" s="14"/>
      <c r="E15" s="11"/>
    </row>
    <row r="16" spans="1:5" ht="13.6" customHeight="1" x14ac:dyDescent="0.45">
      <c r="A16" s="16"/>
      <c r="B16" s="16"/>
      <c r="C16" s="16"/>
      <c r="D16" s="16"/>
      <c r="E16" s="7"/>
    </row>
    <row r="17" spans="1:5" ht="13.6" customHeight="1" x14ac:dyDescent="0.45">
      <c r="A17" s="7"/>
      <c r="B17" s="7"/>
      <c r="C17" s="7"/>
      <c r="D17" s="7"/>
      <c r="E17" s="7"/>
    </row>
    <row r="18" spans="1:5" ht="15.4" customHeight="1" x14ac:dyDescent="0.5">
      <c r="A18" s="8" t="s">
        <v>39</v>
      </c>
      <c r="B18" s="9"/>
      <c r="C18" s="9"/>
      <c r="D18" s="9"/>
      <c r="E18" s="7"/>
    </row>
    <row r="19" spans="1:5" ht="13.6" customHeight="1" x14ac:dyDescent="0.45">
      <c r="A19" s="10" t="s">
        <v>40</v>
      </c>
      <c r="B19" s="10" t="s">
        <v>41</v>
      </c>
      <c r="C19" s="10" t="s">
        <v>42</v>
      </c>
      <c r="D19" s="10" t="s">
        <v>43</v>
      </c>
      <c r="E19" s="11"/>
    </row>
    <row r="20" spans="1:5" ht="13.6" customHeight="1" x14ac:dyDescent="0.45">
      <c r="A20" s="12">
        <v>10</v>
      </c>
      <c r="B20" s="12">
        <v>33.799999999999997</v>
      </c>
      <c r="C20" s="12">
        <v>688.7</v>
      </c>
      <c r="D20" s="24">
        <f t="shared" ref="D20:D25" si="0">IF(OR(ISBLANK(B20),ISBLANK(C20)),"",B20/C20)</f>
        <v>4.9077972992594733E-2</v>
      </c>
      <c r="E20" s="11"/>
    </row>
    <row r="21" spans="1:5" ht="13.6" customHeight="1" x14ac:dyDescent="0.45">
      <c r="A21" s="13">
        <v>20</v>
      </c>
      <c r="B21" s="13">
        <v>71.5</v>
      </c>
      <c r="C21" s="12">
        <v>688.7</v>
      </c>
      <c r="D21" s="25">
        <f t="shared" si="0"/>
        <v>0.10381878902279656</v>
      </c>
      <c r="E21" s="11"/>
    </row>
    <row r="22" spans="1:5" ht="13.6" customHeight="1" x14ac:dyDescent="0.45">
      <c r="A22" s="12">
        <v>40</v>
      </c>
      <c r="B22" s="12">
        <v>136.9</v>
      </c>
      <c r="C22" s="12">
        <v>688.7</v>
      </c>
      <c r="D22" s="24">
        <f t="shared" si="0"/>
        <v>0.19878031073036154</v>
      </c>
      <c r="E22" s="11"/>
    </row>
    <row r="23" spans="1:5" ht="13.6" customHeight="1" x14ac:dyDescent="0.45">
      <c r="A23" s="13">
        <v>60</v>
      </c>
      <c r="B23" s="13">
        <v>206.7</v>
      </c>
      <c r="C23" s="12">
        <v>688.7</v>
      </c>
      <c r="D23" s="25">
        <f t="shared" si="0"/>
        <v>0.30013068099317552</v>
      </c>
      <c r="E23" s="11"/>
    </row>
    <row r="24" spans="1:5" ht="13.6" customHeight="1" x14ac:dyDescent="0.45">
      <c r="A24" s="12">
        <v>80</v>
      </c>
      <c r="B24" s="12">
        <v>276.5</v>
      </c>
      <c r="C24" s="12">
        <v>688.7</v>
      </c>
      <c r="D24" s="24">
        <f t="shared" si="0"/>
        <v>0.40148105125598954</v>
      </c>
      <c r="E24" s="11"/>
    </row>
    <row r="25" spans="1:5" ht="13.6" customHeight="1" x14ac:dyDescent="0.45">
      <c r="A25" s="13">
        <v>100</v>
      </c>
      <c r="B25" s="13">
        <v>345</v>
      </c>
      <c r="C25" s="12">
        <v>688.7</v>
      </c>
      <c r="D25" s="25">
        <f t="shared" si="0"/>
        <v>0.50094380717293452</v>
      </c>
      <c r="E25" s="11"/>
    </row>
    <row r="26" spans="1:5" ht="13.6" customHeight="1" x14ac:dyDescent="0.45">
      <c r="A26" s="16"/>
      <c r="B26" s="16"/>
      <c r="C26" s="16"/>
      <c r="D26" s="16"/>
      <c r="E26" s="7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9"/>
  <sheetViews>
    <sheetView showGridLines="0" workbookViewId="0"/>
  </sheetViews>
  <sheetFormatPr defaultColWidth="8.86328125" defaultRowHeight="15" customHeight="1" x14ac:dyDescent="0.45"/>
  <cols>
    <col min="1" max="1" width="24.6640625" style="5" customWidth="1"/>
    <col min="2" max="2" width="19.46484375" style="5" customWidth="1"/>
    <col min="3" max="3" width="23.46484375" style="5" customWidth="1"/>
    <col min="4" max="4" width="39" style="5" customWidth="1"/>
    <col min="5" max="5" width="24.6640625" style="5" customWidth="1"/>
    <col min="6" max="6" width="8.86328125" style="5" customWidth="1"/>
    <col min="7" max="16384" width="8.86328125" style="5"/>
  </cols>
  <sheetData>
    <row r="1" spans="1:5" ht="17.95" customHeight="1" x14ac:dyDescent="0.55000000000000004">
      <c r="A1" s="6" t="s">
        <v>45</v>
      </c>
      <c r="B1" s="7"/>
      <c r="C1" s="7"/>
      <c r="D1" s="7"/>
      <c r="E1" s="7"/>
    </row>
    <row r="2" spans="1:5" ht="13.6" customHeight="1" x14ac:dyDescent="0.45">
      <c r="A2" s="7"/>
      <c r="B2" s="7"/>
      <c r="C2" s="7"/>
      <c r="D2" s="7"/>
      <c r="E2" s="7"/>
    </row>
    <row r="3" spans="1:5" ht="15.4" customHeight="1" x14ac:dyDescent="0.5">
      <c r="A3" s="8" t="s">
        <v>46</v>
      </c>
      <c r="B3" s="9"/>
      <c r="C3" s="9"/>
      <c r="D3" s="9"/>
      <c r="E3" s="9"/>
    </row>
    <row r="4" spans="1:5" ht="13.6" customHeight="1" x14ac:dyDescent="0.45">
      <c r="A4" s="10" t="s">
        <v>8</v>
      </c>
      <c r="B4" s="10" t="s">
        <v>47</v>
      </c>
      <c r="C4" s="10" t="s">
        <v>48</v>
      </c>
      <c r="D4" s="10" t="s">
        <v>49</v>
      </c>
      <c r="E4" s="10" t="s">
        <v>50</v>
      </c>
    </row>
    <row r="5" spans="1:5" ht="13.6" customHeight="1" x14ac:dyDescent="0.45">
      <c r="A5" s="12">
        <v>1</v>
      </c>
      <c r="B5" s="15"/>
      <c r="C5" s="15"/>
      <c r="D5" s="15"/>
      <c r="E5" s="23" t="str">
        <f t="shared" ref="E5:E13" si="0">IF(OR(ISBLANK(C5),ISBLANK(D5)),"",C5/D5)</f>
        <v/>
      </c>
    </row>
    <row r="6" spans="1:5" ht="13.6" customHeight="1" x14ac:dyDescent="0.45">
      <c r="A6" s="13">
        <v>2</v>
      </c>
      <c r="B6" s="14"/>
      <c r="C6" s="14"/>
      <c r="D6" s="14"/>
      <c r="E6" s="22" t="str">
        <f t="shared" si="0"/>
        <v/>
      </c>
    </row>
    <row r="7" spans="1:5" ht="13.6" customHeight="1" x14ac:dyDescent="0.45">
      <c r="A7" s="12">
        <v>3</v>
      </c>
      <c r="B7" s="15"/>
      <c r="C7" s="15"/>
      <c r="D7" s="15"/>
      <c r="E7" s="23" t="str">
        <f t="shared" si="0"/>
        <v/>
      </c>
    </row>
    <row r="8" spans="1:5" ht="13.6" customHeight="1" x14ac:dyDescent="0.45">
      <c r="A8" s="13">
        <v>4</v>
      </c>
      <c r="B8" s="14"/>
      <c r="C8" s="14"/>
      <c r="D8" s="14"/>
      <c r="E8" s="22" t="str">
        <f t="shared" si="0"/>
        <v/>
      </c>
    </row>
    <row r="9" spans="1:5" ht="13.6" customHeight="1" x14ac:dyDescent="0.45">
      <c r="A9" s="12">
        <v>5</v>
      </c>
      <c r="B9" s="15"/>
      <c r="C9" s="15"/>
      <c r="D9" s="15"/>
      <c r="E9" s="23" t="str">
        <f t="shared" si="0"/>
        <v/>
      </c>
    </row>
    <row r="10" spans="1:5" ht="13.6" customHeight="1" x14ac:dyDescent="0.45">
      <c r="A10" s="13">
        <v>6</v>
      </c>
      <c r="B10" s="14"/>
      <c r="C10" s="14"/>
      <c r="D10" s="14"/>
      <c r="E10" s="22" t="str">
        <f t="shared" si="0"/>
        <v/>
      </c>
    </row>
    <row r="11" spans="1:5" ht="13.6" customHeight="1" x14ac:dyDescent="0.45">
      <c r="A11" s="12">
        <v>7</v>
      </c>
      <c r="B11" s="15"/>
      <c r="C11" s="15"/>
      <c r="D11" s="15"/>
      <c r="E11" s="23" t="str">
        <f t="shared" si="0"/>
        <v/>
      </c>
    </row>
    <row r="12" spans="1:5" ht="13.6" customHeight="1" x14ac:dyDescent="0.45">
      <c r="A12" s="13">
        <v>8</v>
      </c>
      <c r="B12" s="14"/>
      <c r="C12" s="14"/>
      <c r="D12" s="14"/>
      <c r="E12" s="22" t="str">
        <f t="shared" si="0"/>
        <v/>
      </c>
    </row>
    <row r="13" spans="1:5" ht="13.6" customHeight="1" x14ac:dyDescent="0.45">
      <c r="A13" s="12">
        <v>9</v>
      </c>
      <c r="B13" s="15"/>
      <c r="C13" s="15"/>
      <c r="D13" s="15"/>
      <c r="E13" s="23" t="str">
        <f t="shared" si="0"/>
        <v/>
      </c>
    </row>
    <row r="14" spans="1:5" ht="13.6" customHeight="1" x14ac:dyDescent="0.45">
      <c r="A14" s="16"/>
      <c r="B14" s="16"/>
      <c r="C14" s="16"/>
      <c r="D14" s="16"/>
      <c r="E14" s="16"/>
    </row>
    <row r="15" spans="1:5" ht="13.6" customHeight="1" x14ac:dyDescent="0.45">
      <c r="A15" s="7"/>
      <c r="B15" s="7"/>
      <c r="C15" s="7"/>
      <c r="D15" s="7"/>
      <c r="E15" s="7"/>
    </row>
    <row r="16" spans="1:5" ht="15.4" customHeight="1" x14ac:dyDescent="0.5">
      <c r="A16" s="8" t="s">
        <v>51</v>
      </c>
      <c r="B16" s="9"/>
      <c r="C16" s="9"/>
      <c r="D16" s="9"/>
      <c r="E16" s="7"/>
    </row>
    <row r="17" spans="1:5" ht="13.6" customHeight="1" x14ac:dyDescent="0.45">
      <c r="A17" s="10" t="s">
        <v>52</v>
      </c>
      <c r="B17" s="10" t="s">
        <v>53</v>
      </c>
      <c r="C17" s="10" t="s">
        <v>54</v>
      </c>
      <c r="D17" s="10" t="s">
        <v>55</v>
      </c>
      <c r="E17" s="11"/>
    </row>
    <row r="18" spans="1:5" ht="13.6" customHeight="1" x14ac:dyDescent="0.45">
      <c r="A18" s="12">
        <v>3000</v>
      </c>
      <c r="B18" s="12">
        <f>1000*10^(-12)</f>
        <v>1.0000000000000001E-9</v>
      </c>
      <c r="C18" s="12">
        <f>IF(OR(ISBLANK(A18),ISBLANK(B18)),"",A18*B18)</f>
        <v>3.0000000000000001E-6</v>
      </c>
      <c r="D18" s="15"/>
      <c r="E18" s="11"/>
    </row>
    <row r="19" spans="1:5" ht="13.6" customHeight="1" x14ac:dyDescent="0.45">
      <c r="A19" s="14"/>
      <c r="B19" s="14"/>
      <c r="C19" s="22" t="str">
        <f>IF(OR(ISBLANK(A19),ISBLANK(B19)),"",A19*B19)</f>
        <v/>
      </c>
      <c r="D19" s="14"/>
      <c r="E19" s="11"/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Обзор экспорта</vt:lpstr>
      <vt:lpstr>А. Прямоуг. импульсы</vt:lpstr>
      <vt:lpstr>Б. Цуги</vt:lpstr>
      <vt:lpstr>Г. Амплитудная модуляция</vt:lpstr>
      <vt:lpstr>Е. RC-фильтр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Efim Filin</cp:lastModifiedBy>
  <dcterms:modified xsi:type="dcterms:W3CDTF">2026-09-11T08:43:44Z</dcterms:modified>
</cp:coreProperties>
</file>